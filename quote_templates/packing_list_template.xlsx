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콜아크 서류\"/>
    </mc:Choice>
  </mc:AlternateContent>
  <xr:revisionPtr revIDLastSave="0" documentId="13_ncr:1_{A8038E88-18A0-4CCF-8875-6D79E1C4BAA7}" xr6:coauthVersionLast="47" xr6:coauthVersionMax="47" xr10:uidLastSave="{00000000-0000-0000-0000-000000000000}"/>
  <bookViews>
    <workbookView xWindow="-120" yWindow="-120" windowWidth="29040" windowHeight="15720" xr2:uid="{F60D08BE-3051-4A9D-AB24-EBF552878A07}"/>
  </bookViews>
  <sheets>
    <sheet name="Outbound Packing List" sheetId="2" r:id="rId1"/>
    <sheet name="Sheet1" sheetId="1" r:id="rId2"/>
  </sheets>
  <externalReferences>
    <externalReference r:id="rId3"/>
  </externalReferences>
  <definedNames>
    <definedName name="_xlnm.Print_Area" localSheetId="0">'Outbound Packing List'!$A$1:$I$38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2" l="1"/>
  <c r="G3" i="2"/>
  <c r="E5" i="2"/>
  <c r="A9" i="2"/>
  <c r="A17" i="2"/>
  <c r="A21" i="2"/>
  <c r="G25" i="2"/>
  <c r="A20" i="2" s="1"/>
  <c r="H25" i="2"/>
  <c r="I25" i="2"/>
</calcChain>
</file>

<file path=xl/sharedStrings.xml><?xml version="1.0" encoding="utf-8"?>
<sst xmlns="http://schemas.openxmlformats.org/spreadsheetml/2006/main" count="30" uniqueCount="30">
  <si>
    <t>declares that, except where otherwise clearly indicated, these products are of KR preferential origin.</t>
    <phoneticPr fontId="3" type="noConversion"/>
  </si>
  <si>
    <t xml:space="preserve">The exporter of the products covered by this document (customs authorization No. 010-11-231405) </t>
    <phoneticPr fontId="3" type="noConversion"/>
  </si>
  <si>
    <t>Telephone  : +82-2-6230-6819(Direct)</t>
    <phoneticPr fontId="3" type="noConversion"/>
  </si>
  <si>
    <t>Fax              : +82-2-522-2030, 525-7317</t>
    <phoneticPr fontId="3" type="noConversion"/>
  </si>
  <si>
    <t>Telex           : HDCSHC K23401</t>
    <phoneticPr fontId="3" type="noConversion"/>
  </si>
  <si>
    <t>20.P.O.Box : K.P.O. Box 1059</t>
    <phoneticPr fontId="3" type="noConversion"/>
  </si>
  <si>
    <t>KG</t>
    <phoneticPr fontId="3" type="noConversion"/>
  </si>
  <si>
    <t>TOTAL</t>
    <phoneticPr fontId="3" type="noConversion"/>
  </si>
  <si>
    <t>WELDING MACHINE</t>
    <phoneticPr fontId="3" type="noConversion"/>
  </si>
  <si>
    <t>Rotterdam, Netherlands</t>
    <phoneticPr fontId="3" type="noConversion"/>
  </si>
  <si>
    <t>(KG)</t>
    <phoneticPr fontId="3" type="noConversion"/>
  </si>
  <si>
    <t>11. NET / GROSS WEIGHT</t>
    <phoneticPr fontId="3" type="noConversion"/>
  </si>
  <si>
    <t>10. QTY/UNIT
(EA)</t>
    <phoneticPr fontId="3" type="noConversion"/>
  </si>
  <si>
    <t>ORIGIN</t>
    <phoneticPr fontId="3" type="noConversion"/>
  </si>
  <si>
    <t>HS CODE</t>
    <phoneticPr fontId="3" type="noConversion"/>
  </si>
  <si>
    <t xml:space="preserve">9. DESCRIPTION OF GOODS </t>
    <phoneticPr fontId="3" type="noConversion"/>
  </si>
  <si>
    <t>8. MARKS AND NO. OF PKGS.</t>
    <phoneticPr fontId="3" type="noConversion"/>
  </si>
  <si>
    <t>DITTO</t>
    <phoneticPr fontId="3" type="noConversion"/>
  </si>
  <si>
    <t>90 days from B/L date</t>
    <phoneticPr fontId="3" type="noConversion"/>
  </si>
  <si>
    <t xml:space="preserve">T/T </t>
    <phoneticPr fontId="3" type="noConversion"/>
  </si>
  <si>
    <t xml:space="preserve">* PAYMENT TERMS : </t>
    <phoneticPr fontId="3" type="noConversion"/>
  </si>
  <si>
    <t>4. NOTIFY PARTY</t>
    <phoneticPr fontId="3" type="noConversion"/>
  </si>
  <si>
    <t>3. FOR ACCOUNT &amp; RISK OF MESSRES.</t>
    <phoneticPr fontId="3" type="noConversion"/>
  </si>
  <si>
    <t xml:space="preserve">HANA Bank - City Airport Terminal Center
SWIFT CODE : KOEXKRSE
Account Number: 338-890054-83738 (Former 651-000013-229)
Address : 21, TEHERAN-RO 87-GIL, GANGNAM-GU, 
SEOUL, 06169, KOREA / TEL : +82-2-523-1111(EXT.3973) </t>
    <phoneticPr fontId="3" type="noConversion"/>
  </si>
  <si>
    <t>2. OUR BANK</t>
    <phoneticPr fontId="3" type="noConversion"/>
  </si>
  <si>
    <t>6. NO. &amp; DATE OF CONTRACT</t>
    <phoneticPr fontId="3" type="noConversion"/>
  </si>
  <si>
    <t>HYUNDAI WELDING CO.,LTD.
SAMSUNG-DONG WEWORK BUILDING, 15TH FLOOR, 
507 TEHERAN-RO, GANGNAM-GU, SEOUL, KOREA 06168</t>
    <phoneticPr fontId="3" type="noConversion"/>
  </si>
  <si>
    <t>5. NO. &amp; DATE OF INVOICE</t>
    <phoneticPr fontId="3" type="noConversion"/>
  </si>
  <si>
    <t>1. SHIPPER/EXPORTER</t>
    <phoneticPr fontId="3" type="noConversion"/>
  </si>
  <si>
    <t>PACKING LIST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</si>
</sst>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0.000"/>
    <numFmt numFmtId="177" formatCode="_-* #,##0.0_-;\-* #,##0.0_-;_-* &quot;-&quot;_-;_-@_-"/>
    <numFmt numFmtId="178" formatCode="0.0000"/>
    <numFmt numFmtId="179" formatCode="_ * #,##0_ ;_ * \-#,##0_ ;_ * &quot;-&quot;_ ;_ @_ "/>
    <numFmt numFmtId="180" formatCode="_ * #,##0.00_ ;_ * \-#,##0.00_ ;_ * &quot;-&quot;??_ ;_ @_ "/>
    <numFmt numFmtId="181" formatCode="dd/mmm/yyyy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돋움"/>
      <family val="3"/>
      <charset val="129"/>
    </font>
    <font>
      <b/>
      <sz val="2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/>
      <bottom style="hair">
        <color theme="0" tint="-0.14996795556505021"/>
      </bottom>
      <diagonal/>
    </border>
    <border>
      <left/>
      <right/>
      <top style="hair">
        <color theme="0" tint="-0.14993743705557422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40" fontId="5" fillId="0" borderId="0" xfId="0" applyNumberFormat="1" applyFont="1" applyBorder="1" applyAlignment="1">
      <alignment horizontal="right"/>
    </xf>
    <xf numFmtId="38" fontId="5" fillId="0" borderId="0" xfId="0" applyNumberFormat="1" applyFont="1" applyBorder="1" applyAlignment="1">
      <alignment horizontal="center"/>
    </xf>
    <xf numFmtId="176" fontId="5" fillId="0" borderId="0" xfId="0" applyNumberFormat="1" applyFont="1" applyBorder="1" applyAlignment="1"/>
    <xf numFmtId="0" fontId="5" fillId="0" borderId="0" xfId="0" applyFont="1" applyBorder="1" applyAlignment="1">
      <alignment horizontal="center"/>
    </xf>
    <xf numFmtId="0" fontId="5" fillId="0" borderId="0" xfId="0" applyFont="1" applyBorder="1" applyAlignment="1"/>
    <xf numFmtId="0" fontId="2" fillId="0" borderId="0" xfId="0" applyFont="1" applyBorder="1">
      <alignment vertical="center"/>
    </xf>
    <xf numFmtId="0" fontId="2" fillId="0" borderId="0" xfId="0" applyFont="1" applyAlignment="1">
      <alignment vertical="center"/>
    </xf>
    <xf numFmtId="0" fontId="6" fillId="2" borderId="1" xfId="1" applyNumberFormat="1" applyFont="1" applyFill="1" applyBorder="1" applyAlignment="1">
      <alignment vertical="center"/>
    </xf>
    <xf numFmtId="0" fontId="7" fillId="2" borderId="1" xfId="1" applyNumberFormat="1" applyFont="1" applyFill="1" applyBorder="1" applyAlignment="1">
      <alignment vertical="center"/>
    </xf>
    <xf numFmtId="0" fontId="5" fillId="0" borderId="2" xfId="1" applyNumberFormat="1" applyFont="1" applyFill="1" applyBorder="1" applyAlignment="1">
      <alignment horizontal="right" vertical="center"/>
    </xf>
    <xf numFmtId="177" fontId="2" fillId="0" borderId="3" xfId="1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shrinkToFit="1"/>
    </xf>
    <xf numFmtId="178" fontId="2" fillId="0" borderId="0" xfId="0" applyNumberFormat="1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vertical="center" shrinkToFit="1"/>
    </xf>
    <xf numFmtId="179" fontId="6" fillId="0" borderId="0" xfId="0" applyNumberFormat="1" applyFont="1" applyFill="1" applyBorder="1" applyAlignment="1">
      <alignment vertical="center" shrinkToFit="1"/>
    </xf>
    <xf numFmtId="0" fontId="5" fillId="0" borderId="6" xfId="1" applyNumberFormat="1" applyFont="1" applyFill="1" applyBorder="1" applyAlignment="1">
      <alignment horizontal="right" vertical="center"/>
    </xf>
    <xf numFmtId="41" fontId="2" fillId="0" borderId="3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/>
    </xf>
    <xf numFmtId="0" fontId="6" fillId="0" borderId="12" xfId="0" applyFont="1" applyFill="1" applyBorder="1">
      <alignment vertical="center"/>
    </xf>
    <xf numFmtId="0" fontId="5" fillId="0" borderId="12" xfId="0" applyFont="1" applyFill="1" applyBorder="1">
      <alignment vertical="center"/>
    </xf>
    <xf numFmtId="0" fontId="5" fillId="0" borderId="11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181" fontId="5" fillId="0" borderId="0" xfId="0" applyNumberFormat="1" applyFont="1" applyFill="1" applyBorder="1" applyAlignment="1">
      <alignment vertical="center"/>
    </xf>
    <xf numFmtId="0" fontId="6" fillId="0" borderId="12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horizontal="left" vertical="center"/>
    </xf>
    <xf numFmtId="0" fontId="5" fillId="0" borderId="7" xfId="0" applyNumberFormat="1" applyFont="1" applyFill="1" applyBorder="1" applyAlignment="1">
      <alignment vertical="center"/>
    </xf>
    <xf numFmtId="0" fontId="6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6" fillId="0" borderId="13" xfId="0" applyFont="1" applyFill="1" applyBorder="1">
      <alignment vertical="center"/>
    </xf>
    <xf numFmtId="0" fontId="6" fillId="0" borderId="1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180" fontId="5" fillId="0" borderId="0" xfId="0" applyNumberFormat="1" applyFont="1" applyFill="1" applyBorder="1" applyAlignment="1">
      <alignment vertical="center"/>
    </xf>
    <xf numFmtId="0" fontId="6" fillId="0" borderId="1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right" vertical="center"/>
    </xf>
    <xf numFmtId="14" fontId="6" fillId="0" borderId="0" xfId="0" applyNumberFormat="1" applyFont="1" applyFill="1" applyBorder="1" applyAlignment="1">
      <alignment horizontal="left" vertical="center"/>
    </xf>
    <xf numFmtId="0" fontId="6" fillId="0" borderId="7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6" fillId="0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176" fontId="6" fillId="2" borderId="1" xfId="0" applyNumberFormat="1" applyFont="1" applyFill="1" applyBorder="1" applyAlignment="1">
      <alignment vertical="center"/>
    </xf>
    <xf numFmtId="41" fontId="6" fillId="2" borderId="1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center" vertical="center"/>
    </xf>
    <xf numFmtId="177" fontId="2" fillId="0" borderId="3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right" vertical="center"/>
    </xf>
    <xf numFmtId="0" fontId="5" fillId="0" borderId="4" xfId="1" applyNumberFormat="1" applyFont="1" applyFill="1" applyBorder="1" applyAlignment="1">
      <alignment horizontal="right" vertical="center"/>
    </xf>
    <xf numFmtId="0" fontId="9" fillId="0" borderId="7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left" vertical="center" wrapText="1"/>
    </xf>
    <xf numFmtId="181" fontId="5" fillId="0" borderId="7" xfId="0" applyNumberFormat="1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3">
    <cellStyle name="쉼표 [0]" xfId="1" builtinId="6"/>
    <cellStyle name="쉼표 [0] 10 2" xfId="2" xr:uid="{ED46EB25-EA97-436C-A4C1-888E58C774AB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519956</xdr:colOff>
      <xdr:row>0</xdr:row>
      <xdr:rowOff>231963</xdr:rowOff>
    </xdr:from>
    <xdr:ext cx="1648323" cy="377732"/>
    <xdr:pic>
      <xdr:nvPicPr>
        <xdr:cNvPr id="2" name="그림 1" descr="오리지날.jpg">
          <a:extLst>
            <a:ext uri="{FF2B5EF4-FFF2-40B4-BE49-F238E27FC236}">
              <a16:creationId xmlns:a16="http://schemas.microsoft.com/office/drawing/2014/main" id="{2F9EE1B6-07DA-461F-B92B-FCDE665A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0556" y="224343"/>
          <a:ext cx="1648323" cy="3777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163606</xdr:colOff>
      <xdr:row>31</xdr:row>
      <xdr:rowOff>235329</xdr:rowOff>
    </xdr:from>
    <xdr:ext cx="3484962" cy="1328570"/>
    <xdr:pic>
      <xdr:nvPicPr>
        <xdr:cNvPr id="3" name="그림 2">
          <a:extLst>
            <a:ext uri="{FF2B5EF4-FFF2-40B4-BE49-F238E27FC236}">
              <a16:creationId xmlns:a16="http://schemas.microsoft.com/office/drawing/2014/main" id="{33CDCD4D-F450-41C9-94EF-2110C8F5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2606" y="7070469"/>
          <a:ext cx="3484962" cy="1328570"/>
        </a:xfrm>
        <a:prstGeom prst="rect">
          <a:avLst/>
        </a:prstGeom>
      </xdr:spPr>
    </xdr:pic>
    <xdr:clientData/>
  </xdr:oneCellAnchor>
  <xdr:oneCellAnchor>
    <xdr:from>
      <xdr:col>0</xdr:col>
      <xdr:colOff>98614</xdr:colOff>
      <xdr:row>0</xdr:row>
      <xdr:rowOff>44826</xdr:rowOff>
    </xdr:from>
    <xdr:ext cx="1883228" cy="700036"/>
    <xdr:pic>
      <xdr:nvPicPr>
        <xdr:cNvPr id="4" name="그림 3">
          <a:extLst>
            <a:ext uri="{FF2B5EF4-FFF2-40B4-BE49-F238E27FC236}">
              <a16:creationId xmlns:a16="http://schemas.microsoft.com/office/drawing/2014/main" id="{8E7F31EA-03EA-4849-BE81-53626B47A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614" y="44826"/>
          <a:ext cx="1883228" cy="700036"/>
        </a:xfrm>
        <a:prstGeom prst="rect">
          <a:avLst/>
        </a:prstGeom>
      </xdr:spPr>
    </xdr:pic>
    <xdr:clientData/>
  </xdr:oneCellAnchor>
  <xdr:twoCellAnchor>
    <xdr:from>
      <xdr:col>4</xdr:col>
      <xdr:colOff>1183342</xdr:colOff>
      <xdr:row>35</xdr:row>
      <xdr:rowOff>177950</xdr:rowOff>
    </xdr:from>
    <xdr:to>
      <xdr:col>8</xdr:col>
      <xdr:colOff>242047</xdr:colOff>
      <xdr:row>35</xdr:row>
      <xdr:rowOff>177950</xdr:rowOff>
    </xdr:to>
    <xdr:cxnSp macro="">
      <xdr:nvCxnSpPr>
        <xdr:cNvPr id="5" name="직선 연결선 4">
          <a:extLst>
            <a:ext uri="{FF2B5EF4-FFF2-40B4-BE49-F238E27FC236}">
              <a16:creationId xmlns:a16="http://schemas.microsoft.com/office/drawing/2014/main" id="{2B29DA5C-F464-43E7-9D30-23AE64B0FD44}"/>
            </a:ext>
          </a:extLst>
        </xdr:cNvPr>
        <xdr:cNvCxnSpPr/>
      </xdr:nvCxnSpPr>
      <xdr:spPr>
        <a:xfrm>
          <a:off x="3431242" y="7912250"/>
          <a:ext cx="2297205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86959</xdr:colOff>
      <xdr:row>35</xdr:row>
      <xdr:rowOff>295836</xdr:rowOff>
    </xdr:from>
    <xdr:ext cx="1287981" cy="26936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71135-BE9C-4318-874B-B58B3B5993BC}"/>
            </a:ext>
          </a:extLst>
        </xdr:cNvPr>
        <xdr:cNvSpPr txBox="1"/>
      </xdr:nvSpPr>
      <xdr:spPr>
        <a:xfrm>
          <a:off x="4201759" y="7953936"/>
          <a:ext cx="1287981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200" b="1">
              <a:latin typeface="Arial" panose="020B0604020202020204" pitchFamily="34" charset="0"/>
              <a:cs typeface="Arial" panose="020B0604020202020204" pitchFamily="34" charset="0"/>
            </a:rPr>
            <a:t>12. SIGNED</a:t>
          </a:r>
          <a:r>
            <a:rPr lang="en-US" altLang="ko-KR" sz="1200" b="1" baseline="0">
              <a:latin typeface="Arial" panose="020B0604020202020204" pitchFamily="34" charset="0"/>
              <a:cs typeface="Arial" panose="020B0604020202020204" pitchFamily="34" charset="0"/>
            </a:rPr>
            <a:t> BY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DWELD/Downloads/(&#47560;&#52992;&#54021;&#54016;)%20&#50857;&#51217;&#44592;%20&#51064;&#48372;&#51060;&#49828;,%20&#54056;&#53433;&#47532;&#49828;&#53944;%20&#49888;&#44508;%20&#50577;&#49885;_2602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bound Invoice"/>
    </sheetNames>
    <sheetDataSet>
      <sheetData sheetId="0">
        <row r="3">
          <cell r="E3" t="str">
            <v>NL-4200-1-251124-100</v>
          </cell>
          <cell r="G3">
            <v>45985</v>
          </cell>
        </row>
        <row r="5">
          <cell r="E5">
            <v>719693</v>
          </cell>
        </row>
        <row r="9">
          <cell r="A9" t="str">
            <v xml:space="preserve">M. Bindt Trading Nederland B.V
Nieuwland Parc 1
2952 DA Alblasserdam
TEL.: +31 78 642 9656 </v>
          </cell>
        </row>
        <row r="17">
          <cell r="A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C1D8-CF22-45CA-BA87-434C70ABC1E5}">
  <sheetPr>
    <pageSetUpPr fitToPage="1"/>
  </sheetPr>
  <dimension ref="A1:I46"/>
  <sheetViews>
    <sheetView tabSelected="1" view="pageBreakPreview" topLeftCell="A7" zoomScale="70" zoomScaleNormal="100" zoomScaleSheetLayoutView="70" workbookViewId="0">
      <selection activeCell="B17" sqref="B17:B24"/>
    </sheetView>
  </sheetViews>
  <sheetFormatPr defaultColWidth="9" defaultRowHeight="14.25" x14ac:dyDescent="0.3"/>
  <cols>
    <col min="1" max="1" width="22.75" style="1" customWidth="1"/>
    <col min="2" max="2" width="3.75" style="1" customWidth="1"/>
    <col min="3" max="3" width="13.5" style="1" customWidth="1"/>
    <col min="4" max="4" width="40" style="1" customWidth="1"/>
    <col min="5" max="9" width="15.75" style="1" customWidth="1"/>
    <col min="10" max="16384" width="9" style="1"/>
  </cols>
  <sheetData>
    <row r="1" spans="1:9" ht="61.15" customHeight="1" x14ac:dyDescent="0.3">
      <c r="A1" s="64" t="s">
        <v>29</v>
      </c>
      <c r="B1" s="64"/>
      <c r="C1" s="64"/>
      <c r="D1" s="64"/>
      <c r="E1" s="64"/>
      <c r="F1" s="64"/>
      <c r="G1" s="64"/>
      <c r="H1" s="64"/>
      <c r="I1" s="64"/>
    </row>
    <row r="2" spans="1:9" ht="30" customHeight="1" x14ac:dyDescent="0.3">
      <c r="A2" s="23" t="s">
        <v>28</v>
      </c>
      <c r="B2" s="24"/>
      <c r="C2" s="24"/>
      <c r="D2" s="25"/>
      <c r="E2" s="23" t="s">
        <v>27</v>
      </c>
      <c r="F2" s="24"/>
      <c r="G2" s="24"/>
      <c r="H2" s="24"/>
      <c r="I2" s="24"/>
    </row>
    <row r="3" spans="1:9" ht="30" customHeight="1" x14ac:dyDescent="0.3">
      <c r="A3" s="65" t="s">
        <v>26</v>
      </c>
      <c r="B3" s="65"/>
      <c r="C3" s="65"/>
      <c r="D3" s="66"/>
      <c r="E3" s="26" t="str">
        <f>'[1]Outbound Invoice'!E3</f>
        <v>NL-4200-1-251124-100</v>
      </c>
      <c r="F3" s="26"/>
      <c r="G3" s="27">
        <f>'[1]Outbound Invoice'!G3</f>
        <v>45985</v>
      </c>
      <c r="H3" s="27"/>
      <c r="I3" s="27"/>
    </row>
    <row r="4" spans="1:9" ht="30" customHeight="1" x14ac:dyDescent="0.3">
      <c r="A4" s="65"/>
      <c r="B4" s="65"/>
      <c r="C4" s="65"/>
      <c r="D4" s="66"/>
      <c r="E4" s="28" t="s">
        <v>25</v>
      </c>
      <c r="F4" s="29"/>
      <c r="G4" s="29"/>
      <c r="H4" s="29"/>
      <c r="I4" s="29"/>
    </row>
    <row r="5" spans="1:9" ht="30" customHeight="1" x14ac:dyDescent="0.3">
      <c r="A5" s="67"/>
      <c r="B5" s="67"/>
      <c r="C5" s="67"/>
      <c r="D5" s="68"/>
      <c r="E5" s="30">
        <f>'[1]Outbound Invoice'!E5</f>
        <v>719693</v>
      </c>
      <c r="F5" s="31"/>
      <c r="G5" s="31"/>
      <c r="H5" s="69"/>
      <c r="I5" s="69"/>
    </row>
    <row r="6" spans="1:9" ht="30" customHeight="1" x14ac:dyDescent="0.3">
      <c r="A6" s="32" t="s">
        <v>24</v>
      </c>
      <c r="B6" s="33"/>
      <c r="C6" s="33"/>
      <c r="D6" s="34"/>
      <c r="E6" s="35"/>
      <c r="F6" s="24"/>
      <c r="G6" s="24"/>
      <c r="H6" s="24"/>
      <c r="I6" s="24"/>
    </row>
    <row r="7" spans="1:9" ht="90" customHeight="1" x14ac:dyDescent="0.3">
      <c r="A7" s="65" t="s">
        <v>23</v>
      </c>
      <c r="B7" s="65"/>
      <c r="C7" s="55"/>
      <c r="D7" s="56"/>
      <c r="E7" s="36"/>
      <c r="F7" s="37"/>
      <c r="G7" s="37"/>
      <c r="H7" s="37"/>
      <c r="I7" s="37"/>
    </row>
    <row r="8" spans="1:9" ht="30" customHeight="1" x14ac:dyDescent="0.3">
      <c r="A8" s="23" t="s">
        <v>22</v>
      </c>
      <c r="B8" s="24"/>
      <c r="C8" s="24"/>
      <c r="D8" s="25"/>
      <c r="E8" s="32"/>
      <c r="F8" s="33"/>
      <c r="G8" s="32"/>
      <c r="H8" s="32"/>
      <c r="I8" s="33"/>
    </row>
    <row r="9" spans="1:9" ht="30" customHeight="1" x14ac:dyDescent="0.3">
      <c r="A9" s="65" t="str">
        <f>'[1]Outbound Invoice'!A9:D11</f>
        <v xml:space="preserve">M. Bindt Trading Nederland B.V
Nieuwland Parc 1
2952 DA Alblasserdam
TEL.: +31 78 642 9656 </v>
      </c>
      <c r="B9" s="65"/>
      <c r="C9" s="55"/>
      <c r="D9" s="56"/>
      <c r="E9" s="22"/>
      <c r="F9" s="21"/>
      <c r="G9" s="38"/>
      <c r="H9" s="38"/>
      <c r="I9" s="38"/>
    </row>
    <row r="10" spans="1:9" ht="30" customHeight="1" x14ac:dyDescent="0.3">
      <c r="A10" s="55"/>
      <c r="B10" s="55"/>
      <c r="C10" s="55"/>
      <c r="D10" s="56"/>
      <c r="E10" s="39"/>
      <c r="F10" s="40"/>
      <c r="G10" s="40"/>
      <c r="H10" s="40"/>
      <c r="I10" s="20"/>
    </row>
    <row r="11" spans="1:9" ht="30" customHeight="1" x14ac:dyDescent="0.3">
      <c r="A11" s="57"/>
      <c r="B11" s="57"/>
      <c r="C11" s="57"/>
      <c r="D11" s="58"/>
      <c r="E11" s="70"/>
      <c r="F11" s="55"/>
      <c r="G11" s="55"/>
      <c r="H11" s="71"/>
      <c r="I11" s="71"/>
    </row>
    <row r="12" spans="1:9" ht="30" customHeight="1" x14ac:dyDescent="0.3">
      <c r="A12" s="32" t="s">
        <v>21</v>
      </c>
      <c r="B12" s="33"/>
      <c r="C12" s="33"/>
      <c r="D12" s="34"/>
      <c r="E12" s="41" t="s">
        <v>20</v>
      </c>
      <c r="F12" s="26"/>
      <c r="G12" s="42" t="s">
        <v>19</v>
      </c>
      <c r="H12" s="37" t="s">
        <v>18</v>
      </c>
      <c r="I12" s="33"/>
    </row>
    <row r="13" spans="1:9" ht="30" customHeight="1" x14ac:dyDescent="0.3">
      <c r="A13" s="55" t="s">
        <v>17</v>
      </c>
      <c r="B13" s="55"/>
      <c r="C13" s="55"/>
      <c r="D13" s="56"/>
      <c r="E13" s="37"/>
      <c r="F13" s="26"/>
      <c r="G13" s="43"/>
      <c r="H13" s="26"/>
      <c r="I13" s="26"/>
    </row>
    <row r="14" spans="1:9" ht="30" customHeight="1" x14ac:dyDescent="0.3">
      <c r="A14" s="55"/>
      <c r="B14" s="55"/>
      <c r="C14" s="55"/>
      <c r="D14" s="56"/>
      <c r="E14" s="37"/>
      <c r="F14" s="26"/>
      <c r="G14" s="43"/>
      <c r="H14" s="26"/>
      <c r="I14" s="26"/>
    </row>
    <row r="15" spans="1:9" ht="30" customHeight="1" x14ac:dyDescent="0.3">
      <c r="A15" s="57"/>
      <c r="B15" s="57"/>
      <c r="C15" s="57"/>
      <c r="D15" s="58"/>
      <c r="E15" s="44"/>
      <c r="F15" s="45"/>
      <c r="G15" s="46"/>
      <c r="H15" s="44"/>
      <c r="I15" s="45"/>
    </row>
    <row r="16" spans="1:9" ht="33" customHeight="1" x14ac:dyDescent="0.3">
      <c r="A16" s="47" t="s">
        <v>16</v>
      </c>
      <c r="B16" s="48"/>
      <c r="C16" s="49"/>
      <c r="D16" s="49" t="s">
        <v>15</v>
      </c>
      <c r="E16" s="48" t="s">
        <v>14</v>
      </c>
      <c r="F16" s="48" t="s">
        <v>13</v>
      </c>
      <c r="G16" s="50" t="s">
        <v>12</v>
      </c>
      <c r="H16" s="51" t="s">
        <v>11</v>
      </c>
      <c r="I16" s="51" t="s">
        <v>10</v>
      </c>
    </row>
    <row r="17" spans="1:9" ht="27" customHeight="1" x14ac:dyDescent="0.3">
      <c r="A17" s="16">
        <f>'[1]Outbound Invoice'!A17</f>
        <v>0</v>
      </c>
      <c r="B17" s="17"/>
      <c r="C17" s="15"/>
      <c r="D17" s="15"/>
      <c r="E17" s="15"/>
      <c r="F17" s="14"/>
      <c r="G17" s="14"/>
      <c r="H17" s="19"/>
      <c r="I17" s="18"/>
    </row>
    <row r="18" spans="1:9" ht="27" customHeight="1" x14ac:dyDescent="0.3">
      <c r="A18" s="17" t="s">
        <v>9</v>
      </c>
      <c r="B18" s="17"/>
      <c r="C18" s="15"/>
      <c r="D18" s="15"/>
      <c r="E18" s="15"/>
      <c r="F18" s="14"/>
      <c r="G18" s="14"/>
      <c r="H18" s="60"/>
      <c r="I18" s="62"/>
    </row>
    <row r="19" spans="1:9" ht="27" customHeight="1" x14ac:dyDescent="0.3">
      <c r="A19" s="17" t="s">
        <v>8</v>
      </c>
      <c r="B19" s="17"/>
      <c r="C19" s="15"/>
      <c r="D19" s="15"/>
      <c r="E19" s="15"/>
      <c r="F19" s="14"/>
      <c r="G19" s="14"/>
      <c r="H19" s="61"/>
      <c r="I19" s="63"/>
    </row>
    <row r="20" spans="1:9" ht="28.5" customHeight="1" x14ac:dyDescent="0.3">
      <c r="A20" s="17" t="str">
        <f xml:space="preserve"> "P/L NO. : 1 - " &amp; G25</f>
        <v>P/L NO. : 1 - 0</v>
      </c>
      <c r="B20" s="17"/>
      <c r="C20" s="15"/>
      <c r="D20" s="15"/>
      <c r="E20" s="15"/>
      <c r="F20" s="14"/>
      <c r="G20" s="14"/>
      <c r="H20" s="13"/>
      <c r="I20" s="12"/>
    </row>
    <row r="21" spans="1:9" ht="27" customHeight="1" x14ac:dyDescent="0.3">
      <c r="A21" s="17" t="str">
        <f>"MADE IN "&amp;F17</f>
        <v xml:space="preserve">MADE IN </v>
      </c>
      <c r="B21" s="17"/>
      <c r="C21" s="15"/>
      <c r="D21" s="15"/>
      <c r="E21" s="15"/>
      <c r="F21" s="14"/>
      <c r="G21" s="14"/>
      <c r="H21" s="13"/>
      <c r="I21" s="12"/>
    </row>
    <row r="22" spans="1:9" ht="27" customHeight="1" x14ac:dyDescent="0.3">
      <c r="A22" s="16"/>
      <c r="B22" s="17"/>
      <c r="C22" s="15"/>
      <c r="D22" s="15"/>
      <c r="E22" s="15"/>
      <c r="F22" s="14"/>
      <c r="G22" s="14"/>
      <c r="H22" s="13"/>
      <c r="I22" s="12"/>
    </row>
    <row r="23" spans="1:9" ht="27" customHeight="1" x14ac:dyDescent="0.3">
      <c r="A23" s="16"/>
      <c r="B23" s="17"/>
      <c r="C23" s="15"/>
      <c r="D23" s="15"/>
      <c r="E23" s="15"/>
      <c r="F23" s="14"/>
      <c r="G23" s="14"/>
      <c r="H23" s="13"/>
      <c r="I23" s="12"/>
    </row>
    <row r="24" spans="1:9" ht="27" customHeight="1" x14ac:dyDescent="0.3">
      <c r="A24" s="16"/>
      <c r="B24" s="17"/>
      <c r="C24" s="15"/>
      <c r="D24" s="15"/>
      <c r="E24" s="15"/>
      <c r="F24" s="14"/>
      <c r="G24" s="14"/>
      <c r="H24" s="13"/>
      <c r="I24" s="12"/>
    </row>
    <row r="25" spans="1:9" s="9" customFormat="1" ht="30" customHeight="1" x14ac:dyDescent="0.3">
      <c r="A25" s="59" t="s">
        <v>7</v>
      </c>
      <c r="B25" s="59"/>
      <c r="C25" s="59"/>
      <c r="D25" s="59"/>
      <c r="E25" s="52"/>
      <c r="F25" s="53" t="s">
        <v>6</v>
      </c>
      <c r="G25" s="11">
        <f>SUM(G17:G24)</f>
        <v>0</v>
      </c>
      <c r="H25" s="10">
        <f>SUM(H17:H24)</f>
        <v>0</v>
      </c>
      <c r="I25" s="10">
        <f>SUM(I17:I24)</f>
        <v>0</v>
      </c>
    </row>
    <row r="26" spans="1:9" ht="30" customHeight="1" x14ac:dyDescent="0.2">
      <c r="A26" s="8"/>
      <c r="B26" s="8"/>
      <c r="C26" s="7"/>
      <c r="D26" s="7"/>
      <c r="E26" s="5"/>
      <c r="F26" s="6"/>
      <c r="G26" s="5"/>
      <c r="H26" s="4"/>
      <c r="I26" s="3"/>
    </row>
    <row r="27" spans="1:9" ht="30" customHeight="1" x14ac:dyDescent="0.2">
      <c r="C27" s="7"/>
      <c r="D27" s="7"/>
      <c r="E27" s="5"/>
      <c r="F27" s="6"/>
      <c r="G27" s="5"/>
      <c r="H27" s="4"/>
      <c r="I27" s="3"/>
    </row>
    <row r="28" spans="1:9" ht="30" customHeight="1" x14ac:dyDescent="0.2">
      <c r="C28" s="7"/>
      <c r="D28" s="7"/>
      <c r="E28" s="5"/>
      <c r="F28" s="6"/>
      <c r="G28" s="5"/>
      <c r="H28" s="4"/>
      <c r="I28" s="3"/>
    </row>
    <row r="29" spans="1:9" ht="30" customHeight="1" x14ac:dyDescent="0.2">
      <c r="C29" s="7"/>
      <c r="D29" s="7"/>
      <c r="E29" s="5"/>
      <c r="F29" s="6"/>
      <c r="G29" s="5"/>
      <c r="H29" s="4"/>
      <c r="I29" s="3"/>
    </row>
    <row r="30" spans="1:9" ht="30" customHeight="1" x14ac:dyDescent="0.2">
      <c r="C30" s="7"/>
      <c r="D30" s="7"/>
      <c r="E30" s="5"/>
      <c r="F30" s="6"/>
      <c r="G30" s="5"/>
      <c r="H30" s="4"/>
      <c r="I30" s="3"/>
    </row>
    <row r="31" spans="1:9" ht="30" customHeight="1" x14ac:dyDescent="0.2">
      <c r="C31" s="7"/>
      <c r="D31" s="7"/>
      <c r="E31" s="5"/>
      <c r="F31" s="6"/>
      <c r="G31" s="5"/>
      <c r="H31" s="4"/>
      <c r="I31" s="3"/>
    </row>
    <row r="32" spans="1:9" ht="30" customHeight="1" x14ac:dyDescent="0.2">
      <c r="A32" s="54"/>
      <c r="B32" s="54"/>
      <c r="C32" s="7"/>
      <c r="D32" s="7"/>
      <c r="E32" s="5"/>
      <c r="F32" s="6"/>
      <c r="G32" s="5"/>
      <c r="H32" s="4"/>
      <c r="I32" s="3"/>
    </row>
    <row r="33" spans="1:9" ht="30" customHeight="1" x14ac:dyDescent="0.2">
      <c r="A33" s="54" t="s">
        <v>5</v>
      </c>
      <c r="B33" s="54"/>
      <c r="C33" s="7"/>
      <c r="D33" s="7"/>
      <c r="E33" s="5"/>
      <c r="F33" s="6"/>
      <c r="G33" s="5"/>
      <c r="H33" s="4"/>
      <c r="I33" s="3"/>
    </row>
    <row r="34" spans="1:9" ht="30" customHeight="1" x14ac:dyDescent="0.3">
      <c r="A34" s="54" t="s">
        <v>4</v>
      </c>
      <c r="B34" s="54"/>
      <c r="C34" s="54"/>
    </row>
    <row r="35" spans="1:9" ht="30" customHeight="1" x14ac:dyDescent="0.3">
      <c r="A35" s="54" t="s">
        <v>3</v>
      </c>
      <c r="B35" s="54"/>
      <c r="C35" s="54"/>
    </row>
    <row r="36" spans="1:9" ht="30" customHeight="1" x14ac:dyDescent="0.3">
      <c r="A36" s="54" t="s">
        <v>2</v>
      </c>
      <c r="B36" s="54"/>
      <c r="C36" s="54"/>
    </row>
    <row r="37" spans="1:9" ht="30" customHeight="1" x14ac:dyDescent="0.3"/>
    <row r="38" spans="1:9" ht="30" customHeight="1" x14ac:dyDescent="0.3"/>
    <row r="45" spans="1:9" ht="15" x14ac:dyDescent="0.3">
      <c r="C45" s="2" t="s">
        <v>1</v>
      </c>
    </row>
    <row r="46" spans="1:9" ht="15" x14ac:dyDescent="0.3">
      <c r="C46" s="2" t="s">
        <v>0</v>
      </c>
    </row>
  </sheetData>
  <mergeCells count="11">
    <mergeCell ref="A13:D15"/>
    <mergeCell ref="A25:D25"/>
    <mergeCell ref="H18:H19"/>
    <mergeCell ref="I18:I19"/>
    <mergeCell ref="A1:I1"/>
    <mergeCell ref="A3:D5"/>
    <mergeCell ref="H5:I5"/>
    <mergeCell ref="A7:D7"/>
    <mergeCell ref="A9:D11"/>
    <mergeCell ref="E11:G11"/>
    <mergeCell ref="H11:I11"/>
  </mergeCells>
  <phoneticPr fontId="3" type="noConversion"/>
  <pageMargins left="0.25" right="0.25" top="0.75" bottom="0.75" header="0.3" footer="0.3"/>
  <pageSetup paperSize="9" scale="5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7BCC-F76C-4044-8C94-EC21E9BEB468}">
  <dimension ref="A1"/>
  <sheetViews>
    <sheetView workbookViewId="0"/>
  </sheetViews>
  <sheetFormatPr defaultRowHeight="16.5" x14ac:dyDescent="0.3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Outbound Packing List</vt:lpstr>
      <vt:lpstr>Sheet1</vt:lpstr>
      <vt:lpstr>'Outbound Packing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HDWELD</dc:creator>
  <cp:lastModifiedBy>sang hun lee</cp:lastModifiedBy>
  <dcterms:created xsi:type="dcterms:W3CDTF">2026-03-04T01:20:54Z</dcterms:created>
  <dcterms:modified xsi:type="dcterms:W3CDTF">2026-03-05T23:26:48Z</dcterms:modified>
</cp:coreProperties>
</file>